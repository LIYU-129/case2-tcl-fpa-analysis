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e480314615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1cb54459f4e4f40"/>
    <x:sheet xmlns:r="http://schemas.openxmlformats.org/officeDocument/2006/relationships" name="01_预算执行" sheetId="2" r:id="R5b2e79463c8a4c70"/>
    <x:sheet xmlns:r="http://schemas.openxmlformats.org/officeDocument/2006/relationships" name="02_收入驱动" sheetId="3" r:id="R22580f89b0ac42bd"/>
    <x:sheet xmlns:r="http://schemas.openxmlformats.org/officeDocument/2006/relationships" name="03_盈利矩阵" sheetId="4" r:id="R2c4864ece5f64fb0"/>
    <x:sheet xmlns:r="http://schemas.openxmlformats.org/officeDocument/2006/relationships" name="04_毛利率趋势" sheetId="5" r:id="Rbd3cbbfbd41e44e9"/>
    <x:sheet xmlns:r="http://schemas.openxmlformats.org/officeDocument/2006/relationships" name="05_ROI情景" sheetId="6" r:id="Rdf8cfc322d6e4881"/>
    <x:sheet xmlns:r="http://schemas.openxmlformats.org/officeDocument/2006/relationships" name="06_KPI" sheetId="7" r:id="Rd8472c934c73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0.0%;[Red](0.0%);-"/>
    <x:numFmt numFmtId="202" formatCode="0.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b2d351dd3647dd" /><Relationship Type="http://schemas.openxmlformats.org/officeDocument/2006/relationships/theme" Target="/xl/theme/theme1.xml" Id="R855b787be1e046d7" /><Relationship Type="http://schemas.openxmlformats.org/officeDocument/2006/relationships/sharedStrings" Target="/xl/sharedStrings.xml" Id="Re9bd8bf4194548fa" /><Relationship Type="http://schemas.openxmlformats.org/officeDocument/2006/relationships/worksheet" Target="/xl/worksheets/sheet1.xml" Id="Re1cb54459f4e4f40" /><Relationship Type="http://schemas.openxmlformats.org/officeDocument/2006/relationships/worksheet" Target="/xl/worksheets/sheet2.xml" Id="R5b2e79463c8a4c70" /><Relationship Type="http://schemas.openxmlformats.org/officeDocument/2006/relationships/worksheet" Target="/xl/worksheets/sheet3.xml" Id="R22580f89b0ac42bd" /><Relationship Type="http://schemas.openxmlformats.org/officeDocument/2006/relationships/worksheet" Target="/xl/worksheets/sheet4.xml" Id="R2c4864ece5f64fb0" /><Relationship Type="http://schemas.openxmlformats.org/officeDocument/2006/relationships/worksheet" Target="/xl/worksheets/sheet5.xml" Id="Rbd3cbbfbd41e44e9" /><Relationship Type="http://schemas.openxmlformats.org/officeDocument/2006/relationships/worksheet" Target="/xl/worksheets/sheet6.xml" Id="Rdf8cfc322d6e4881" /><Relationship Type="http://schemas.openxmlformats.org/officeDocument/2006/relationships/worksheet" Target="/xl/worksheets/sheet7.xml" Id="Rd8472c934c734ee0" /></Relationships>
</file>

<file path=xl/tables/table1.xml><?xml version="1.0" encoding="utf-8"?>
<x:table xmlns:x="http://schemas.openxmlformats.org/spreadsheetml/2006/main" id="1" name="BudgetActualTable" displayName="BudgetActualTable" ref="A1:H9" headerRowCount="1" totalsRowCount="0" totalsRowShown="0">
  <x:tableColumns count="8">
    <x:tableColumn id="1" name="业务"/>
    <x:tableColumn id="2" name="层级"/>
    <x:tableColumn id="3" name="2025预算收入(HK$m)"/>
    <x:tableColumn id="4" name="2025实际收入(HK$m)"/>
    <x:tableColumn id="5" name="收入差异(HK$m)"/>
    <x:tableColumn id="6" name="差异率"/>
    <x:tableColumn id="7" name="预算完成率"/>
    <x:tableColumn id="8" name="判断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enueDriverTable" displayName="RevenueDriverTable" ref="A1:J9" headerRowCount="1" totalsRowCount="0" totalsRowShown="0">
  <x:tableColumns count="10">
    <x:tableColumn id="1" name="市场"/>
    <x:tableColumn id="2" name="效应类型"/>
    <x:tableColumn id="3" name="增量金额(HK$m)"/>
    <x:tableColumn id="4" name="占总TV收入增量"/>
    <x:tableColumn id="5" name="2023收入(HK$m)"/>
    <x:tableColumn id="6" name="2024收入(HK$m)"/>
    <x:tableColumn id="7" name="实际收入增量(HK$m)"/>
    <x:tableColumn id="8" name="出货量同比"/>
    <x:tableColumn id="9" name="ASP同比"/>
    <x:tableColumn id="10" name="主导驱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fitabilityTable" displayName="ProfitabilityTable" ref="A1:M6" headerRowCount="1" totalsRowCount="0" totalsRowShown="0">
  <x:tableColumns count="13">
    <x:tableColumn id="1" name="业务"/>
    <x:tableColumn id="2" name="2025收入(HK$m)"/>
    <x:tableColumn id="3" name="2025毛利(HK$m)"/>
    <x:tableColumn id="4" name="2025毛利率"/>
    <x:tableColumn id="5" name="收入同比"/>
    <x:tableColumn id="6" name="毛利同比"/>
    <x:tableColumn id="7" name="毛利率变化(p.p.)"/>
    <x:tableColumn id="8" name="集团收入占比"/>
    <x:tableColumn id="9" name="集团毛利贡献占比"/>
    <x:tableColumn id="10" name="规模分类"/>
    <x:tableColumn id="11" name="毛利分类"/>
    <x:tableColumn id="12" name="盈利定位"/>
    <x:tableColumn id="13" name="管理关注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rginTrendTable" displayName="MarginTrendTable" ref="A1:G7" headerRowCount="1" totalsRowCount="0" totalsRowShown="0">
  <x:tableColumns count="7">
    <x:tableColumn id="1" name="市场"/>
    <x:tableColumn id="2" name="年份"/>
    <x:tableColumn id="3" name="收入(HK$m)"/>
    <x:tableColumn id="4" name="毛利率"/>
    <x:tableColumn id="5" name="成本率"/>
    <x:tableColumn id="6" name="毛利率同比变化(p.p.)"/>
    <x:tableColumn id="7" name="经营解释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OIScenarioTable" displayName="ROIScenarioTable" ref="A1:L4" headerRowCount="1" totalsRowCount="0" totalsRowShown="0">
  <x:tableColumns count="12">
    <x:tableColumn id="1" name="情景"/>
    <x:tableColumn id="2" name="收入基数(HK$m)"/>
    <x:tableColumn id="3" name="当前毛利率"/>
    <x:tableColumn id="4" name="成本率改善(p.p.)"/>
    <x:tableColumn id="5" name="目标毛利率"/>
    <x:tableColumn id="6" name="年度增量毛利(HK$m)"/>
    <x:tableColumn id="7" name="项目投入(HK$m)"/>
    <x:tableColumn id="8" name="第一年净收益(HK$m)"/>
    <x:tableColumn id="9" name="ROI"/>
    <x:tableColumn id="10" name="回收期(月)"/>
    <x:tableColumn id="11" name="12个月回收门槛(p.p.)"/>
    <x:tableColumn id="12" name="判断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8af00687134b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e27856db9345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c19484fa1549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74f7bf8be04e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560e8853ac414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75" hidden="0" customWidth="1"/>
  </x:cols>
  <x:sheetData>
    <x:row r="1" ht="30" customHeight="1">
      <x:c r="A1" s="3" t="str">
        <x:v>CASE2｜Tableau专用数据源 V1.0</x:v>
      </x:c>
      <x:c r="B1" s="3"/>
      <x:c r="C1" s="3"/>
      <x:c r="D1" s="3"/>
      <x:c r="E1" s="3"/>
      <x:c r="F1" s="3"/>
      <x:c r="G1" s="3"/>
      <x:c r="H1" s="3"/>
    </x:row>
    <x:row r="3">
      <x:c r="A3" s="7" t="str">
        <x:v>用途</x:v>
      </x:c>
      <x:c r="B3" s="10" t="str">
        <x:v>用于制作Case2最终Tableau Dashboard；不包含后台复杂财务模型。</x:v>
      </x:c>
    </x:row>
    <x:row r="4">
      <x:c r="A4" s="7" t="str">
        <x:v>案例</x:v>
      </x:c>
      <x:c r="B4" s="10" t="str">
        <x:v>TCL电子公开经营财务数据</x:v>
      </x:c>
    </x:row>
    <x:row r="5">
      <x:c r="A5" s="7" t="str">
        <x:v>Dashboard主线</x:v>
      </x:c>
      <x:c r="B5" s="10" t="str">
        <x:v>预算执行 → 收入驱动 → 盈利质量 → 改善决策</x:v>
      </x:c>
    </x:row>
    <x:row r="6">
      <x:c r="A6" s="7" t="str">
        <x:v>数据边界</x:v>
      </x:c>
      <x:c r="B6" s="10" t="str">
        <x:v>R=真实公开披露；D=衍生计算；S=本人构造管理情景</x:v>
      </x:c>
    </x:row>
    <x:row r="7">
      <x:c r="A7" s="7" t="str">
        <x:v>金额单位</x:v>
      </x:c>
      <x:c r="B7" s="10" t="str">
        <x:v>HK$m（百万港元）</x:v>
      </x:c>
    </x:row>
    <x:row r="8">
      <x:c r="A8" s="7" t="str">
        <x:v>建议Tableau数据源</x:v>
      </x:c>
      <x:c r="B8" s="10" t="str">
        <x:v>每张工作表单独连接，不做复杂Join/Relationship</x:v>
      </x:c>
    </x:row>
    <x:row r="9">
      <x:c r="A9" s="7" t="str">
        <x:v>第一张图</x:v>
      </x:c>
      <x:c r="B9" s="10" t="str">
        <x:v>01_预算执行：2025预算收入 vs 实际收入</x:v>
      </x:c>
    </x:row>
    <x:row r="10">
      <x:c r="A10" s="7" t="str">
        <x:v>最终使用</x:v>
      </x:c>
      <x:c r="B10" s="10" t="str">
        <x:v>简历/GitHub/面试展示，不声称为TCL内部管理数据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20" hidden="0" customWidth="1"/>
    <x:col min="4" max="4" width="20" hidden="0" customWidth="1"/>
    <x:col min="5" max="5" width="18" hidden="0" customWidth="1"/>
    <x:col min="6" max="6" width="14" hidden="0" customWidth="1"/>
    <x:col min="7" max="7" width="16" hidden="0" customWidth="1"/>
    <x:col min="8" max="8" width="16" hidden="0" customWidth="1"/>
  </x:cols>
  <x:sheetData>
    <x:row r="1">
      <x:c r="A1" s="14" t="str">
        <x:v>业务</x:v>
      </x:c>
      <x:c r="B1" s="14" t="str">
        <x:v>层级</x:v>
      </x:c>
      <x:c r="C1" s="14" t="str">
        <x:v>2025预算收入(HK$m)</x:v>
      </x:c>
      <x:c r="D1" s="14" t="str">
        <x:v>2025实际收入(HK$m)</x:v>
      </x:c>
      <x:c r="E1" s="14" t="str">
        <x:v>收入差异(HK$m)</x:v>
      </x:c>
      <x:c r="F1" s="14" t="str">
        <x:v>差异率</x:v>
      </x:c>
      <x:c r="G1" s="14" t="str">
        <x:v>预算完成率</x:v>
      </x:c>
      <x:c r="H1" s="14" t="str">
        <x:v>判断</x:v>
      </x:c>
    </x:row>
    <x:row r="2">
      <x:c r="A2" s="24" t="str">
        <x:v>Display Business</x:v>
      </x:c>
      <x:c r="B2" s="24" t="str">
        <x:v>一级业务</x:v>
      </x:c>
      <x:c r="C2" s="25" t="n">
        <x:v>78945.93562079944</x:v>
      </x:c>
      <x:c r="D2" s="25" t="n">
        <x:v>75797</x:v>
      </x:c>
      <x:c r="E2" s="32" t="n">
        <x:f>D2-C2</x:f>
        <x:v>-3148.9356207994424</x:v>
      </x:c>
      <x:c r="F2" s="33" t="n">
        <x:f>IFERROR(E2/C2,0)</x:f>
        <x:v>-0.03988724176916095</x:v>
      </x:c>
      <x:c r="G2" s="33" t="n">
        <x:f>IFERROR(D2/C2,0)</x:f>
        <x:v>0.9601127582308391</x:v>
      </x:c>
      <x:c r="H2" t="str">
        <x:v>低于预算</x:v>
      </x:c>
    </x:row>
    <x:row r="3">
      <x:c r="A3" s="24" t="str">
        <x:v>Internet Business</x:v>
      </x:c>
      <x:c r="B3" s="24" t="str">
        <x:v>一级业务</x:v>
      </x:c>
      <x:c r="C3" s="25" t="n">
        <x:v>2549.416503800217</x:v>
      </x:c>
      <x:c r="D3" s="25" t="n">
        <x:v>3109</x:v>
      </x:c>
      <x:c r="E3" s="32" t="n">
        <x:f>D3-C3</x:f>
        <x:v>559.583496199783</x:v>
      </x:c>
      <x:c r="F3" s="33" t="n">
        <x:f>IFERROR(E3/C3,0)</x:f>
        <x:v>0.21949473354614885</x:v>
      </x:c>
      <x:c r="G3" s="33" t="n">
        <x:f>IFERROR(D3/C3,0)</x:f>
        <x:v>1.2194947335461488</x:v>
      </x:c>
      <x:c r="H3" t="str">
        <x:v>高于预算</x:v>
      </x:c>
    </x:row>
    <x:row r="4">
      <x:c r="A4" s="24" t="str">
        <x:v>Innovative Business</x:v>
      </x:c>
      <x:c r="B4" s="24" t="str">
        <x:v>一级业务</x:v>
      </x:c>
      <x:c r="C4" s="25" t="n">
        <x:v>34284.911620171675</x:v>
      </x:c>
      <x:c r="D4" s="25" t="n">
        <x:v>35628</x:v>
      </x:c>
      <x:c r="E4" s="32" t="n">
        <x:f>D4-C4</x:f>
        <x:v>1343.0883798283248</x:v>
      </x:c>
      <x:c r="F4" s="33" t="n">
        <x:f>IFERROR(E4/C4,0)</x:f>
        <x:v>0.039174328191591806</x:v>
      </x:c>
      <x:c r="G4" s="33" t="n">
        <x:f>IFERROR(D4/C4,0)</x:f>
        <x:v>1.0391743281915917</x:v>
      </x:c>
      <x:c r="H4" t="str">
        <x:v>高于预算</x:v>
      </x:c>
    </x:row>
    <x:row r="5">
      <x:c r="A5" s="24" t="str">
        <x:v>Others</x:v>
      </x:c>
      <x:c r="B5" s="24" t="str">
        <x:v>一级业务</x:v>
      </x:c>
      <x:c r="C5" s="25" t="n">
        <x:v>133.21265580057528</x:v>
      </x:c>
      <x:c r="D5" s="25" t="n">
        <x:v>49</x:v>
      </x:c>
      <x:c r="E5" s="32" t="n">
        <x:f>D5-C5</x:f>
        <x:v>-84.21265580057528</x:v>
      </x:c>
      <x:c r="F5" s="33" t="n">
        <x:f>IFERROR(E5/C5,0)</x:f>
        <x:v>-0.6321670812317188</x:v>
      </x:c>
      <x:c r="G5" s="33" t="n">
        <x:f>IFERROR(D5/C5,0)</x:f>
        <x:v>0.3678329187682811</x:v>
      </x:c>
      <x:c r="H5" t="str">
        <x:v>低于预算</x:v>
      </x:c>
    </x:row>
    <x:row r="6">
      <x:c r="A6" s="24" t="str">
        <x:v>Total</x:v>
      </x:c>
      <x:c r="B6" s="24" t="str">
        <x:v>集团</x:v>
      </x:c>
      <x:c r="C6" s="25" t="n">
        <x:v>115913.4764005719</x:v>
      </x:c>
      <x:c r="D6" s="25" t="n">
        <x:v>114583</x:v>
      </x:c>
      <x:c r="E6" s="32" t="n">
        <x:f>D6-C6</x:f>
        <x:v>-1330.4764005719044</x:v>
      </x:c>
      <x:c r="F6" s="33" t="n">
        <x:f>IFERROR(E6/C6,0)</x:f>
        <x:v>-0.011478185642315357</x:v>
      </x:c>
      <x:c r="G6" s="33" t="n">
        <x:f>IFERROR(D6/C6,0)</x:f>
        <x:v>0.9885218143576846</x:v>
      </x:c>
      <x:c r="H6" t="str">
        <x:v>低于预算</x:v>
      </x:c>
    </x:row>
    <x:row r="7">
      <x:c r="A7" s="24" t="str">
        <x:v>Large-Sized Display / TV</x:v>
      </x:c>
      <x:c r="B7" s="24" t="str">
        <x:v>TV诊断</x:v>
      </x:c>
      <x:c r="C7" s="25" t="n">
        <x:v>68619.2928</x:v>
      </x:c>
      <x:c r="D7" s="25" t="n">
        <x:v>64708</x:v>
      </x:c>
      <x:c r="E7" s="32" t="n">
        <x:f>D7-C7</x:f>
        <x:v>-3911.2927999999956</x:v>
      </x:c>
      <x:c r="F7" s="33" t="n">
        <x:f>IFERROR(E7/C7,0)</x:f>
        <x:v>-0.05699989959675008</x:v>
      </x:c>
      <x:c r="G7" s="33" t="n">
        <x:f>IFERROR(D7/C7,0)</x:f>
        <x:v>0.9430001004032499</x:v>
      </x:c>
      <x:c r="H7" t="str">
        <x:v>低于预算</x:v>
      </x:c>
    </x:row>
    <x:row r="8">
      <x:c r="A8" s="24" t="str">
        <x:v>PRC TV</x:v>
      </x:c>
      <x:c r="B8" s="24" t="str">
        <x:v>TV诊断</x:v>
      </x:c>
      <x:c r="C8" s="25" t="n">
        <x:v>21205.8164</x:v>
      </x:c>
      <x:c r="D8" s="25" t="n">
        <x:v>17204</x:v>
      </x:c>
      <x:c r="E8" s="32" t="n">
        <x:f>D8-C8</x:f>
        <x:v>-4001.8163999999997</x:v>
      </x:c>
      <x:c r="F8" s="33" t="n">
        <x:f>IFERROR(E8/C8,0)</x:f>
        <x:v>-0.18871314947346238</x:v>
      </x:c>
      <x:c r="G8" s="33" t="n">
        <x:f>IFERROR(D8/C8,0)</x:f>
        <x:v>0.8112868505265376</x:v>
      </x:c>
      <x:c r="H8" t="str">
        <x:v>明显低于预算</x:v>
      </x:c>
    </x:row>
    <x:row r="9">
      <x:c r="A9" s="24" t="str">
        <x:v>International TV</x:v>
      </x:c>
      <x:c r="B9" s="24" t="str">
        <x:v>TV诊断</x:v>
      </x:c>
      <x:c r="C9" s="25" t="n">
        <x:v>47443.0348</x:v>
      </x:c>
      <x:c r="D9" s="25" t="n">
        <x:v>47504</x:v>
      </x:c>
      <x:c r="E9" s="32" t="n">
        <x:f>D9-C9</x:f>
        <x:v>60.96519999999873</x:v>
      </x:c>
      <x:c r="F9" s="33" t="n">
        <x:f>IFERROR(E9/C9,0)</x:f>
        <x:v>0.0012850189760626092</x:v>
      </x:c>
      <x:c r="G9" s="33" t="n">
        <x:f>IFERROR(D9/C9,0)</x:f>
        <x:v>1.0012850189760627</x:v>
      </x:c>
      <x:c r="H9" t="str">
        <x:v>基本达成</x:v>
      </x:c>
    </x:row>
  </x:sheetData>
  <x:pageMargins left="0.7" right="0.7" top="0.75" bottom="0.75" header="0.3" footer="0.3"/>
  <x:tableParts count="1">
    <x:tablePart xmlns:r="http://schemas.openxmlformats.org/officeDocument/2006/relationships" r:id="R998af00687134b5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4" hidden="0" customWidth="1"/>
    <x:col min="9" max="9" width="14" hidden="0" customWidth="1"/>
    <x:col min="10" max="10" width="16" hidden="0" customWidth="1"/>
  </x:cols>
  <x:sheetData>
    <x:row r="1">
      <x:c r="A1" s="14" t="str">
        <x:v>市场</x:v>
      </x:c>
      <x:c r="B1" s="14" t="str">
        <x:v>效应类型</x:v>
      </x:c>
      <x:c r="C1" s="14" t="str">
        <x:v>增量金额(HK$m)</x:v>
      </x:c>
      <x:c r="D1" s="14" t="str">
        <x:v>占总TV收入增量</x:v>
      </x:c>
      <x:c r="E1" s="14" t="str">
        <x:v>2023收入(HK$m)</x:v>
      </x:c>
      <x:c r="F1" s="14" t="str">
        <x:v>2024收入(HK$m)</x:v>
      </x:c>
      <x:c r="G1" s="14" t="str">
        <x:v>实际收入增量(HK$m)</x:v>
      </x:c>
      <x:c r="H1" s="14" t="str">
        <x:v>出货量同比</x:v>
      </x:c>
      <x:c r="I1" s="14" t="str">
        <x:v>ASP同比</x:v>
      </x:c>
      <x:c r="J1" s="14" t="str">
        <x:v>主导驱动</x:v>
      </x:c>
    </x:row>
    <x:row r="2">
      <x:c r="A2" s="24" t="str">
        <x:v>PRC</x:v>
      </x:c>
      <x:c r="B2" s="24" t="str">
        <x:v>Volume Effect</x:v>
      </x:c>
      <x:c r="C2" s="25" t="n">
        <x:v>928.928</x:v>
      </x:c>
      <x:c r="D2" s="28" t="n">
        <x:v>0.08094527710003485</x:v>
      </x:c>
      <x:c r="E2" s="25" t="n">
        <x:v>16016</x:v>
      </x:c>
      <x:c r="F2" s="25" t="n">
        <x:v>19046</x:v>
      </x:c>
      <x:c r="G2" s="25" t="n">
        <x:v>3030</x:v>
      </x:c>
      <x:c r="H2" s="28" t="n">
        <x:v>0.058</x:v>
      </x:c>
      <x:c r="I2" s="28" t="n">
        <x:v>0.124</x:v>
      </x:c>
      <x:c r="J2" s="24" t="str">
        <x:v>Price-led</x:v>
      </x:c>
    </x:row>
    <x:row r="3">
      <x:c r="A3" s="24" t="str">
        <x:v>PRC</x:v>
      </x:c>
      <x:c r="B3" s="24" t="str">
        <x:v>Price Effect</x:v>
      </x:c>
      <x:c r="C3" s="25" t="n">
        <x:v>1985.984</x:v>
      </x:c>
      <x:c r="D3" s="28" t="n">
        <x:v>0.17305542000697105</x:v>
      </x:c>
      <x:c r="E3" s="25" t="n">
        <x:v>16016</x:v>
      </x:c>
      <x:c r="F3" s="25" t="n">
        <x:v>19046</x:v>
      </x:c>
      <x:c r="G3" s="25" t="n">
        <x:v>3030</x:v>
      </x:c>
      <x:c r="H3" s="28" t="n">
        <x:v>0.058</x:v>
      </x:c>
      <x:c r="I3" s="28" t="n">
        <x:v>0.124</x:v>
      </x:c>
      <x:c r="J3" s="24" t="str">
        <x:v>Price-led</x:v>
      </x:c>
    </x:row>
    <x:row r="4">
      <x:c r="A4" s="24" t="str">
        <x:v>PRC</x:v>
      </x:c>
      <x:c r="B4" s="24" t="str">
        <x:v>Interaction</x:v>
      </x:c>
      <x:c r="C4" s="25" t="n">
        <x:v>115.187072</x:v>
      </x:c>
      <x:c r="D4" s="28" t="n">
        <x:v>0.010037214360404322</x:v>
      </x:c>
      <x:c r="E4" s="25" t="n">
        <x:v>16016</x:v>
      </x:c>
      <x:c r="F4" s="25" t="n">
        <x:v>19046</x:v>
      </x:c>
      <x:c r="G4" s="25" t="n">
        <x:v>3030</x:v>
      </x:c>
      <x:c r="H4" s="28" t="n">
        <x:v>0.058</x:v>
      </x:c>
      <x:c r="I4" s="28" t="n">
        <x:v>0.124</x:v>
      </x:c>
      <x:c r="J4" s="24" t="str">
        <x:v>Price-led</x:v>
      </x:c>
    </x:row>
    <x:row r="5">
      <x:c r="A5" s="24" t="str">
        <x:v>PRC</x:v>
      </x:c>
      <x:c r="B5" s="24" t="str">
        <x:v>Residual / Other</x:v>
      </x:c>
      <x:c r="C5" s="25" t="n">
        <x:v>-0.099072</x:v>
      </x:c>
      <x:c r="D5" s="28" t="n">
        <x:v>-0.000008632973161380271</x:v>
      </x:c>
      <x:c r="E5" s="25" t="n">
        <x:v>16016</x:v>
      </x:c>
      <x:c r="F5" s="25" t="n">
        <x:v>19046</x:v>
      </x:c>
      <x:c r="G5" s="25" t="n">
        <x:v>3030</x:v>
      </x:c>
      <x:c r="H5" s="28" t="n">
        <x:v>0.058</x:v>
      </x:c>
      <x:c r="I5" s="28" t="n">
        <x:v>0.124</x:v>
      </x:c>
      <x:c r="J5" s="24" t="str">
        <x:v>Price-led</x:v>
      </x:c>
    </x:row>
    <x:row r="6">
      <x:c r="A6" s="24" t="str">
        <x:v>International</x:v>
      </x:c>
      <x:c r="B6" s="24" t="str">
        <x:v>Volume Effect</x:v>
      </x:c>
      <x:c r="C6" s="25" t="n">
        <x:v>5740.416</x:v>
      </x:c>
      <x:c r="D6" s="28" t="n">
        <x:v>0.5002105263157894</x:v>
      </x:c>
      <x:c r="E6" s="25" t="n">
        <x:v>32616</x:v>
      </x:c>
      <x:c r="F6" s="25" t="n">
        <x:v>41062</x:v>
      </x:c>
      <x:c r="G6" s="25" t="n">
        <x:v>8446</x:v>
      </x:c>
      <x:c r="H6" s="28" t="n">
        <x:v>0.176</x:v>
      </x:c>
      <x:c r="I6" s="28" t="n">
        <x:v>0.07</x:v>
      </x:c>
      <x:c r="J6" s="24" t="str">
        <x:v>Volume-led</x:v>
      </x:c>
    </x:row>
    <x:row r="7">
      <x:c r="A7" s="24" t="str">
        <x:v>International</x:v>
      </x:c>
      <x:c r="B7" s="24" t="str">
        <x:v>Price Effect</x:v>
      </x:c>
      <x:c r="C7" s="25" t="n">
        <x:v>2283.12</x:v>
      </x:c>
      <x:c r="D7" s="28" t="n">
        <x:v>0.19894736842105262</x:v>
      </x:c>
      <x:c r="E7" s="25" t="n">
        <x:v>32616</x:v>
      </x:c>
      <x:c r="F7" s="25" t="n">
        <x:v>41062</x:v>
      </x:c>
      <x:c r="G7" s="25" t="n">
        <x:v>8446</x:v>
      </x:c>
      <x:c r="H7" s="28" t="n">
        <x:v>0.176</x:v>
      </x:c>
      <x:c r="I7" s="28" t="n">
        <x:v>0.07</x:v>
      </x:c>
      <x:c r="J7" s="24" t="str">
        <x:v>Volume-led</x:v>
      </x:c>
    </x:row>
    <x:row r="8">
      <x:c r="A8" s="24" t="str">
        <x:v>International</x:v>
      </x:c>
      <x:c r="B8" s="24" t="str">
        <x:v>Interaction</x:v>
      </x:c>
      <x:c r="C8" s="25" t="n">
        <x:v>401.82912</x:v>
      </x:c>
      <x:c r="D8" s="28" t="n">
        <x:v>0.035014736842105265</x:v>
      </x:c>
      <x:c r="E8" s="25" t="n">
        <x:v>32616</x:v>
      </x:c>
      <x:c r="F8" s="25" t="n">
        <x:v>41062</x:v>
      </x:c>
      <x:c r="G8" s="25" t="n">
        <x:v>8446</x:v>
      </x:c>
      <x:c r="H8" s="28" t="n">
        <x:v>0.176</x:v>
      </x:c>
      <x:c r="I8" s="28" t="n">
        <x:v>0.07</x:v>
      </x:c>
      <x:c r="J8" s="24" t="str">
        <x:v>Volume-led</x:v>
      </x:c>
    </x:row>
    <x:row r="9">
      <x:c r="A9" s="24" t="str">
        <x:v>International</x:v>
      </x:c>
      <x:c r="B9" s="24" t="str">
        <x:v>Residual / Other</x:v>
      </x:c>
      <x:c r="C9" s="25" t="n">
        <x:v>20.63488</x:v>
      </x:c>
      <x:c r="D9" s="28" t="n">
        <x:v>0.0017980899268037643</x:v>
      </x:c>
      <x:c r="E9" s="25" t="n">
        <x:v>32616</x:v>
      </x:c>
      <x:c r="F9" s="25" t="n">
        <x:v>41062</x:v>
      </x:c>
      <x:c r="G9" s="25" t="n">
        <x:v>8446</x:v>
      </x:c>
      <x:c r="H9" s="28" t="n">
        <x:v>0.176</x:v>
      </x:c>
      <x:c r="I9" s="28" t="n">
        <x:v>0.07</x:v>
      </x:c>
      <x:c r="J9" s="24" t="str">
        <x:v>Volume-led</x:v>
      </x:c>
    </x:row>
  </x:sheetData>
  <x:pageMargins left="0.7" right="0.7" top="0.75" bottom="0.75" header="0.3" footer="0.3"/>
  <x:tableParts count="1">
    <x:tablePart xmlns:r="http://schemas.openxmlformats.org/officeDocument/2006/relationships" r:id="R01e27856db93451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14" hidden="0" customWidth="1"/>
    <x:col min="7" max="7" width="18" hidden="0" customWidth="1"/>
    <x:col min="8" max="8" width="16" hidden="0" customWidth="1"/>
    <x:col min="9" max="9" width="18" hidden="0" customWidth="1"/>
    <x:col min="10" max="10" width="12" hidden="0" customWidth="1"/>
    <x:col min="11" max="11" width="12" hidden="0" customWidth="1"/>
    <x:col min="12" max="12" width="24" hidden="0" customWidth="1"/>
    <x:col min="13" max="13" width="36" hidden="0" customWidth="1"/>
  </x:cols>
  <x:sheetData>
    <x:row r="1">
      <x:c r="A1" s="14" t="str">
        <x:v>业务</x:v>
      </x:c>
      <x:c r="B1" s="14" t="str">
        <x:v>2025收入(HK$m)</x:v>
      </x:c>
      <x:c r="C1" s="14" t="str">
        <x:v>2025毛利(HK$m)</x:v>
      </x:c>
      <x:c r="D1" s="14" t="str">
        <x:v>2025毛利率</x:v>
      </x:c>
      <x:c r="E1" s="14" t="str">
        <x:v>收入同比</x:v>
      </x:c>
      <x:c r="F1" s="14" t="str">
        <x:v>毛利同比</x:v>
      </x:c>
      <x:c r="G1" s="14" t="str">
        <x:v>毛利率变化(p.p.)</x:v>
      </x:c>
      <x:c r="H1" s="14" t="str">
        <x:v>集团收入占比</x:v>
      </x:c>
      <x:c r="I1" s="14" t="str">
        <x:v>集团毛利贡献占比</x:v>
      </x:c>
      <x:c r="J1" s="14" t="str">
        <x:v>规模分类</x:v>
      </x:c>
      <x:c r="K1" s="14" t="str">
        <x:v>毛利分类</x:v>
      </x:c>
      <x:c r="L1" s="14" t="str">
        <x:v>盈利定位</x:v>
      </x:c>
      <x:c r="M1" s="14" t="str">
        <x:v>管理关注点</x:v>
      </x:c>
    </x:row>
    <x:row r="2">
      <x:c r="A2" s="24" t="str">
        <x:v>Large-Sized Display / TV</x:v>
      </x:c>
      <x:c r="B2" s="25" t="n">
        <x:v>64708</x:v>
      </x:c>
      <x:c r="C2" s="25" t="n">
        <x:v>10900</x:v>
      </x:c>
      <x:c r="D2" s="28" t="n">
        <x:v>0.16844903257711566</x:v>
      </x:c>
      <x:c r="E2" s="28" t="n">
        <x:v>0.077</x:v>
      </x:c>
      <x:c r="F2" s="28" t="n">
        <x:v>0.172</x:v>
      </x:c>
      <x:c r="G2" s="28" t="n">
        <x:v>0.01344903257711566</x:v>
      </x:c>
      <x:c r="H2" s="28" t="n">
        <x:v>0.5647260064756552</x:v>
      </x:c>
      <x:c r="I2" s="28" t="n">
        <x:v>0.6089385474860335</x:v>
      </x:c>
      <x:c r="J2" s="24" t="str">
        <x:v>高</x:v>
      </x:c>
      <x:c r="K2" s="24" t="str">
        <x:v>高</x:v>
      </x:c>
      <x:c r="L2" s="24" t="str">
        <x:v>核心利润引擎</x:v>
      </x:c>
      <x:c r="M2" s="24" t="str">
        <x:v>保护高端产品结构与国际扩张</x:v>
      </x:c>
    </x:row>
    <x:row r="3">
      <x:c r="A3" s="24" t="str">
        <x:v>Small-and-Medium-Sized Display</x:v>
      </x:c>
      <x:c r="B3" s="25" t="n">
        <x:v>9968</x:v>
      </x:c>
      <x:c r="C3" s="25" t="n">
        <x:v>1440</x:v>
      </x:c>
      <x:c r="D3" s="28" t="n">
        <x:v>0.14446227929373998</x:v>
      </x:c>
      <x:c r="E3" s="28" t="n">
        <x:v>0.178</x:v>
      </x:c>
      <x:c r="F3" s="28" t="n">
        <x:v>0.104</x:v>
      </x:c>
      <x:c r="G3" s="28" t="n">
        <x:v>-0.009734177271688155</x:v>
      </x:c>
      <x:c r="H3" s="28" t="n">
        <x:v>0.08699370761805852</x:v>
      </x:c>
      <x:c r="I3" s="28" t="n">
        <x:v>0.08044692737430167</x:v>
      </x:c>
      <x:c r="J3" s="24" t="str">
        <x:v>高</x:v>
      </x:c>
      <x:c r="K3" s="24" t="str">
        <x:v>高</x:v>
      </x:c>
      <x:c r="L3" s="24" t="str">
        <x:v>增长但毛利稀释</x:v>
      </x:c>
      <x:c r="M3" s="24" t="str">
        <x:v>优化产品/渠道效率</x:v>
      </x:c>
    </x:row>
    <x:row r="4">
      <x:c r="A4" s="24" t="str">
        <x:v>Smart Commercial Display</x:v>
      </x:c>
      <x:c r="B4" s="25" t="n">
        <x:v>1121</x:v>
      </x:c>
      <x:c r="C4" s="25" t="n">
        <x:v>140</x:v>
      </x:c>
      <x:c r="D4" s="28" t="n">
        <x:v>0.12488849241748438</x:v>
      </x:c>
      <x:c r="E4" s="28" t="n">
        <x:v>0.284</x:v>
      </x:c>
      <x:c r="F4" s="28" t="n">
        <x:v>0.24</x:v>
      </x:c>
      <x:c r="G4" s="28" t="n">
        <x:v>-0.004439372194716781</x:v>
      </x:c>
      <x:c r="H4" s="28" t="n">
        <x:v>0.009783301187785273</x:v>
      </x:c>
      <x:c r="I4" s="28" t="n">
        <x:v>0.00782122905027933</x:v>
      </x:c>
      <x:c r="J4" s="24" t="str">
        <x:v>低</x:v>
      </x:c>
      <x:c r="K4" s="24" t="str">
        <x:v>低</x:v>
      </x:c>
      <x:c r="L4" s="24" t="str">
        <x:v>增长但毛利略稀释</x:v>
      </x:c>
      <x:c r="M4" s="24" t="str">
        <x:v>关注单位经济性</x:v>
      </x:c>
    </x:row>
    <x:row r="5">
      <x:c r="A5" s="24" t="str">
        <x:v>Internet Business</x:v>
      </x:c>
      <x:c r="B5" s="25" t="n">
        <x:v>3109</x:v>
      </x:c>
      <x:c r="C5" s="25" t="n">
        <x:v>1750</x:v>
      </x:c>
      <x:c r="D5" s="28" t="n">
        <x:v>0.5628819556127372</x:v>
      </x:c>
      <x:c r="E5" s="28" t="n">
        <x:v>0.183</x:v>
      </x:c>
      <x:c r="F5" s="28" t="n">
        <x:v>0.188</x:v>
      </x:c>
      <x:c r="G5" s="28" t="n">
        <x:v>0.0008819556127371841</x:v>
      </x:c>
      <x:c r="H5" s="28" t="n">
        <x:v>0.02713316984194863</x:v>
      </x:c>
      <x:c r="I5" s="28" t="n">
        <x:v>0.09776536312849161</x:v>
      </x:c>
      <x:c r="J5" s="24" t="str">
        <x:v>低</x:v>
      </x:c>
      <x:c r="K5" s="24" t="str">
        <x:v>高</x:v>
      </x:c>
      <x:c r="L5" s="24" t="str">
        <x:v>高毛利增长引擎</x:v>
      </x:c>
      <x:c r="M5" s="24" t="str">
        <x:v>扩大海外互联网变现</x:v>
      </x:c>
    </x:row>
    <x:row r="6">
      <x:c r="A6" s="24" t="str">
        <x:v>Photovoltaic Business</x:v>
      </x:c>
      <x:c r="B6" s="25" t="n">
        <x:v>21063</x:v>
      </x:c>
      <x:c r="C6" s="25" t="n">
        <x:v>1810</x:v>
      </x:c>
      <x:c r="D6" s="28" t="n">
        <x:v>0.08593267815600816</x:v>
      </x:c>
      <x:c r="E6" s="28" t="n">
        <x:v>0.636</x:v>
      </x:c>
      <x:c r="F6" s="28" t="n">
        <x:v>0.475</x:v>
      </x:c>
      <x:c r="G6" s="28" t="n">
        <x:v>-0.010067321843991839</x:v>
      </x:c>
      <x:c r="H6" s="28" t="n">
        <x:v>0.183823080212597</x:v>
      </x:c>
      <x:c r="I6" s="28" t="n">
        <x:v>0.1011173184357542</x:v>
      </x:c>
      <x:c r="J6" s="24" t="str">
        <x:v>高</x:v>
      </x:c>
      <x:c r="K6" s="24" t="str">
        <x:v>低</x:v>
      </x:c>
      <x:c r="L6" s="24" t="str">
        <x:v>规模增长快于利润</x:v>
      </x:c>
      <x:c r="M6" s="24" t="str">
        <x:v>强化毛利率与项目筛选纪律</x:v>
      </x:c>
    </x:row>
  </x:sheetData>
  <x:pageMargins left="0.7" right="0.7" top="0.75" bottom="0.75" header="0.3" footer="0.3"/>
  <x:tableParts count="1">
    <x:tablePart xmlns:r="http://schemas.openxmlformats.org/officeDocument/2006/relationships" r:id="Rf6c19484fa1549c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18" hidden="0" customWidth="1"/>
    <x:col min="4" max="4" width="14" hidden="0" customWidth="1"/>
    <x:col min="5" max="5" width="14" hidden="0" customWidth="1"/>
    <x:col min="6" max="6" width="20" hidden="0" customWidth="1"/>
    <x:col min="7" max="7" width="44" hidden="0" customWidth="1"/>
  </x:cols>
  <x:sheetData>
    <x:row r="1">
      <x:c r="A1" s="14" t="str">
        <x:v>市场</x:v>
      </x:c>
      <x:c r="B1" s="14" t="str">
        <x:v>年份</x:v>
      </x:c>
      <x:c r="C1" s="14" t="str">
        <x:v>收入(HK$m)</x:v>
      </x:c>
      <x:c r="D1" s="14" t="str">
        <x:v>毛利率</x:v>
      </x:c>
      <x:c r="E1" s="14" t="str">
        <x:v>成本率</x:v>
      </x:c>
      <x:c r="F1" s="14" t="str">
        <x:v>毛利率同比变化(p.p.)</x:v>
      </x:c>
      <x:c r="G1" s="14" t="str">
        <x:v>经营解释</x:v>
      </x:c>
    </x:row>
    <x:row r="2">
      <x:c r="A2" s="24" t="str">
        <x:v>PRC TV</x:v>
      </x:c>
      <x:c r="B2" s="24" t="n">
        <x:v>2023</x:v>
      </x:c>
      <x:c r="C2" s="25" t="n">
        <x:v>16016</x:v>
      </x:c>
      <x:c r="D2" s="28" t="n">
        <x:v>0.214</x:v>
      </x:c>
      <x:c r="E2" s="28" t="n">
        <x:v>0.786</x:v>
      </x:c>
      <x:c r="F2" s="28"/>
      <x:c r="G2" s="24" t="str">
        <x:v>基准</x:v>
      </x:c>
    </x:row>
    <x:row r="3">
      <x:c r="A3" s="24" t="str">
        <x:v>PRC TV</x:v>
      </x:c>
      <x:c r="B3" s="24" t="n">
        <x:v>2024</x:v>
      </x:c>
      <x:c r="C3" s="25" t="n">
        <x:v>19046</x:v>
      </x:c>
      <x:c r="D3" s="28" t="n">
        <x:v>0.198</x:v>
      </x:c>
      <x:c r="E3" s="28" t="n">
        <x:v>0.802</x:v>
      </x:c>
      <x:c r="F3" s="28" t="n">
        <x:v>-0.016</x:v>
      </x:c>
      <x:c r="G3" s="24" t="str">
        <x:v>Falcon低毛利品牌占比提升，稀释毛利率</x:v>
      </x:c>
    </x:row>
    <x:row r="4">
      <x:c r="A4" s="24" t="str">
        <x:v>PRC TV</x:v>
      </x:c>
      <x:c r="B4" s="24" t="n">
        <x:v>2025</x:v>
      </x:c>
      <x:c r="C4" s="25" t="n">
        <x:v>17204</x:v>
      </x:c>
      <x:c r="D4" s="28" t="n">
        <x:v>0.217</x:v>
      </x:c>
      <x:c r="E4" s="28" t="n">
        <x:v>0.783</x:v>
      </x:c>
      <x:c r="F4" s="28" t="n">
        <x:v>0.019</x:v>
      </x:c>
      <x:c r="G4" s="24" t="str">
        <x:v>高端/大屏结构改善，毛利率恢复</x:v>
      </x:c>
    </x:row>
    <x:row r="5">
      <x:c r="A5" s="24" t="str">
        <x:v>International TV</x:v>
      </x:c>
      <x:c r="B5" s="24" t="n">
        <x:v>2023</x:v>
      </x:c>
      <x:c r="C5" s="25" t="n">
        <x:v>32616</x:v>
      </x:c>
      <x:c r="D5" s="28" t="n">
        <x:v>0.135</x:v>
      </x:c>
      <x:c r="E5" s="28" t="n">
        <x:v>0.865</x:v>
      </x:c>
      <x:c r="F5" s="28"/>
      <x:c r="G5" s="24" t="str">
        <x:v>基准</x:v>
      </x:c>
    </x:row>
    <x:row r="6">
      <x:c r="A6" s="24" t="str">
        <x:v>International TV</x:v>
      </x:c>
      <x:c r="B6" s="24" t="n">
        <x:v>2024</x:v>
      </x:c>
      <x:c r="C6" s="25" t="n">
        <x:v>41062</x:v>
      </x:c>
      <x:c r="D6" s="28" t="n">
        <x:v>0.135</x:v>
      </x:c>
      <x:c r="E6" s="28" t="n">
        <x:v>0.865</x:v>
      </x:c>
      <x:c r="F6" s="28" t="n">
        <x:v>0</x:v>
      </x:c>
      <x:c r="G6" s="24" t="str">
        <x:v>规模扩张，毛利率基本稳定</x:v>
      </x:c>
    </x:row>
    <x:row r="7">
      <x:c r="A7" s="24" t="str">
        <x:v>International TV</x:v>
      </x:c>
      <x:c r="B7" s="24" t="n">
        <x:v>2025</x:v>
      </x:c>
      <x:c r="C7" s="25" t="n">
        <x:v>47504</x:v>
      </x:c>
      <x:c r="D7" s="28" t="n">
        <x:v>0.151</x:v>
      </x:c>
      <x:c r="E7" s="28" t="n">
        <x:v>0.849</x:v>
      </x:c>
      <x:c r="F7" s="28" t="n">
        <x:v>0.016</x:v>
      </x:c>
      <x:c r="G7" s="24" t="str">
        <x:v>产品结构优化，毛利率改善</x:v>
      </x:c>
    </x:row>
  </x:sheetData>
  <x:pageMargins left="0.7" right="0.7" top="0.75" bottom="0.75" header="0.3" footer="0.3"/>
  <x:tableParts count="1">
    <x:tablePart xmlns:r="http://schemas.openxmlformats.org/officeDocument/2006/relationships" r:id="R2874f7bf8be04e0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8" hidden="0" customWidth="1"/>
    <x:col min="5" max="5" width="14" hidden="0" customWidth="1"/>
    <x:col min="6" max="6" width="20" hidden="0" customWidth="1"/>
    <x:col min="7" max="7" width="18" hidden="0" customWidth="1"/>
    <x:col min="8" max="8" width="20" hidden="0" customWidth="1"/>
    <x:col min="9" max="9" width="14" hidden="0" customWidth="1"/>
    <x:col min="10" max="10" width="14" hidden="0" customWidth="1"/>
    <x:col min="11" max="11" width="22" hidden="0" customWidth="1"/>
    <x:col min="12" max="12" width="16" hidden="0" customWidth="1"/>
  </x:cols>
  <x:sheetData>
    <x:row r="1">
      <x:c r="A1" s="14" t="str">
        <x:v>情景</x:v>
      </x:c>
      <x:c r="B1" s="14" t="str">
        <x:v>收入基数(HK$m)</x:v>
      </x:c>
      <x:c r="C1" s="14" t="str">
        <x:v>当前毛利率</x:v>
      </x:c>
      <x:c r="D1" s="14" t="str">
        <x:v>成本率改善(p.p.)</x:v>
      </x:c>
      <x:c r="E1" s="14" t="str">
        <x:v>目标毛利率</x:v>
      </x:c>
      <x:c r="F1" s="14" t="str">
        <x:v>年度增量毛利(HK$m)</x:v>
      </x:c>
      <x:c r="G1" s="14" t="str">
        <x:v>项目投入(HK$m)</x:v>
      </x:c>
      <x:c r="H1" s="14" t="str">
        <x:v>第一年净收益(HK$m)</x:v>
      </x:c>
      <x:c r="I1" s="14" t="str">
        <x:v>ROI</x:v>
      </x:c>
      <x:c r="J1" s="14" t="str">
        <x:v>回收期(月)</x:v>
      </x:c>
      <x:c r="K1" s="14" t="str">
        <x:v>12个月回收门槛(p.p.)</x:v>
      </x:c>
      <x:c r="L1" s="14" t="str">
        <x:v>判断</x:v>
      </x:c>
    </x:row>
    <x:row r="2">
      <x:c r="A2" s="24" t="str">
        <x:v>Conservative</x:v>
      </x:c>
      <x:c r="B2" s="25" t="n">
        <x:v>21063</x:v>
      </x:c>
      <x:c r="C2" s="28" t="n">
        <x:v>0.08593267815600816</x:v>
      </x:c>
      <x:c r="D2" s="28" t="n">
        <x:v>0.004026928737596735</x:v>
      </x:c>
      <x:c r="E2" s="28" t="n">
        <x:v>0.0899596068936049</x:v>
      </x:c>
      <x:c r="F2" s="25" t="n">
        <x:v>84.8192</x:v>
      </x:c>
      <x:c r="G2" s="25" t="n">
        <x:v>105.315</x:v>
      </x:c>
      <x:c r="H2" s="25" t="n">
        <x:v>-20.4958</x:v>
      </x:c>
      <x:c r="I2" s="28" t="n">
        <x:v>0.8053857475193471</x:v>
      </x:c>
      <x:c r="J2" s="30" t="n">
        <x:v>14.89969252244774</x:v>
      </x:c>
      <x:c r="K2" s="28" t="n">
        <x:v>0.005</x:v>
      </x:c>
      <x:c r="L2" s="24" t="str">
        <x:v>超过12个月</x:v>
      </x:c>
    </x:row>
    <x:row r="3">
      <x:c r="A3" s="24" t="str">
        <x:v>Base</x:v>
      </x:c>
      <x:c r="B3" s="25" t="n">
        <x:v>21063</x:v>
      </x:c>
      <x:c r="C3" s="28" t="n">
        <x:v>0.08593267815600816</x:v>
      </x:c>
      <x:c r="D3" s="28" t="n">
        <x:v>0.007047125290794287</x:v>
      </x:c>
      <x:c r="E3" s="28" t="n">
        <x:v>0.09297980344680246</x:v>
      </x:c>
      <x:c r="F3" s="25" t="n">
        <x:v>148.4336</x:v>
      </x:c>
      <x:c r="G3" s="25" t="n">
        <x:v>105.315</x:v>
      </x:c>
      <x:c r="H3" s="25" t="n">
        <x:v>43.1186</x:v>
      </x:c>
      <x:c r="I3" s="28" t="n">
        <x:v>1.4094250581588574</x:v>
      </x:c>
      <x:c r="J3" s="30" t="n">
        <x:v>8.51411001282728</x:v>
      </x:c>
      <x:c r="K3" s="28" t="n">
        <x:v>0.005</x:v>
      </x:c>
      <x:c r="L3" s="24" t="str">
        <x:v>12个月内</x:v>
      </x:c>
    </x:row>
    <x:row r="4">
      <x:c r="A4" s="24" t="str">
        <x:v>Optimistic</x:v>
      </x:c>
      <x:c r="B4" s="25" t="n">
        <x:v>21063</x:v>
      </x:c>
      <x:c r="C4" s="28" t="n">
        <x:v>0.08593267815600816</x:v>
      </x:c>
      <x:c r="D4" s="28" t="n">
        <x:v>0.010067321843991839</x:v>
      </x:c>
      <x:c r="E4" s="28" t="n">
        <x:v>0.096</x:v>
      </x:c>
      <x:c r="F4" s="25" t="n">
        <x:v>212.048</x:v>
      </x:c>
      <x:c r="G4" s="25" t="n">
        <x:v>105.315</x:v>
      </x:c>
      <x:c r="H4" s="25" t="n">
        <x:v>106.733</x:v>
      </x:c>
      <x:c r="I4" s="28" t="n">
        <x:v>2.0134643687983678</x:v>
      </x:c>
      <x:c r="J4" s="30" t="n">
        <x:v>5.959877008979097</x:v>
      </x:c>
      <x:c r="K4" s="28" t="n">
        <x:v>0.005</x:v>
      </x:c>
      <x:c r="L4" s="24" t="str">
        <x:v>12个月内</x:v>
      </x:c>
    </x:row>
  </x:sheetData>
  <x:pageMargins left="0.7" right="0.7" top="0.75" bottom="0.75" header="0.3" footer="0.3"/>
  <x:tableParts count="1">
    <x:tablePart xmlns:r="http://schemas.openxmlformats.org/officeDocument/2006/relationships" r:id="Re7560e8853ac414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6" hidden="0" customWidth="1"/>
    <x:col min="4" max="4" width="20" hidden="0" customWidth="1"/>
    <x:col min="5" max="5" width="20" hidden="0" customWidth="1"/>
    <x:col min="6" max="6" width="20" hidden="0" customWidth="1"/>
    <x:col min="7" max="7" width="22" hidden="0" customWidth="1"/>
    <x:col min="8" max="8" width="14" hidden="0" customWidth="1"/>
    <x:col min="9" max="9" width="16" hidden="0" customWidth="1"/>
    <x:col min="10" max="10" width="24" hidden="0" customWidth="1"/>
  </x:cols>
  <x:sheetData>
    <x:row r="1">
      <x:c r="A1" s="14" t="str">
        <x:v>2025收入较预算差异率</x:v>
      </x:c>
      <x:c r="B1" s="14" t="str">
        <x:v>2025预算完成率</x:v>
      </x:c>
      <x:c r="C1" s="14" t="str">
        <x:v>2025经调整归母净利润较预算差异率</x:v>
      </x:c>
      <x:c r="D1" s="14" t="str">
        <x:v>2024TV销量贡献占比</x:v>
      </x:c>
      <x:c r="E1" s="14" t="str">
        <x:v>2024TV价格贡献占比</x:v>
      </x:c>
      <x:c r="F1" s="14" t="str">
        <x:v>2025Internet毛利率</x:v>
      </x:c>
      <x:c r="G1" s="14" t="str">
        <x:v>2025Photovoltaic毛利率</x:v>
      </x:c>
      <x:c r="H1" s="14" t="str">
        <x:v>Base ROI</x:v>
      </x:c>
      <x:c r="I1" s="14" t="str">
        <x:v>Base回收期(月)</x:v>
      </x:c>
      <x:c r="J1" s="14" t="str">
        <x:v>12个月回收门槛(p.p.)</x:v>
      </x:c>
    </x:row>
    <x:row r="2">
      <x:c r="A2" s="28" t="n">
        <x:v>-0.011478185642315357</x:v>
      </x:c>
      <x:c r="B2" s="28" t="n">
        <x:v>0.9885218143576846</x:v>
      </x:c>
      <x:c r="C2" s="28" t="n">
        <x:v>0.3393301375113331</x:v>
      </x:c>
      <x:c r="D2" s="28" t="n">
        <x:v>0.5811558034158243</x:v>
      </x:c>
      <x:c r="E2" s="28" t="n">
        <x:v>0.3720027884280237</x:v>
      </x:c>
      <x:c r="F2" s="28" t="n">
        <x:v>0.5628819556127372</x:v>
      </x:c>
      <x:c r="G2" s="28" t="n">
        <x:v>0.08593267815600816</x:v>
      </x:c>
      <x:c r="H2" s="28" t="n">
        <x:v>1.4094250581588574</x:v>
      </x:c>
      <x:c r="I2" s="30" t="n">
        <x:v>8.51411001282728</x:v>
      </x:c>
      <x:c r="J2" s="28" t="n">
        <x:v>0.005</x:v>
      </x:c>
    </x:row>
  </x:sheetData>
  <x:pageMargins left="0.7" right="0.7" top="0.75" bottom="0.75" header="0.3" footer="0.3"/>
</x:worksheet>
</file>